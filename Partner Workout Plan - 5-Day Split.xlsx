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&amp; Schedule" sheetId="1" r:id="rId5"/>
    <sheet state="visible" name="Person 1 - Male Log" sheetId="2" r:id="rId6"/>
    <sheet state="visible" name="Person 2 - Female Log" sheetId="3" r:id="rId7"/>
  </sheets>
  <definedNames/>
  <calcPr/>
</workbook>
</file>

<file path=xl/sharedStrings.xml><?xml version="1.0" encoding="utf-8"?>
<sst xmlns="http://schemas.openxmlformats.org/spreadsheetml/2006/main" count="344" uniqueCount="110">
  <si>
    <t>Partner Workout Plan - 5-Day Split (Option B)</t>
  </si>
  <si>
    <t>Monday</t>
  </si>
  <si>
    <t>Person 1 (Male, 29) - Workout Log</t>
  </si>
  <si>
    <t>Person 2 (Female, 27) - Workout Log</t>
  </si>
  <si>
    <t>Push (Chest, Shoulders, Triceps)</t>
  </si>
  <si>
    <t>Tuesday</t>
  </si>
  <si>
    <t>Profile &amp; Goal: Returning after a 2-year gap (181 cm, 80 kg). Rebuild tendon strength, progressive overload, RPE 7-8.</t>
  </si>
  <si>
    <t>Pull (Back, Rear Delts, Biceps)</t>
  </si>
  <si>
    <t>Profile &amp; Goal: Complete beginner (165 cm, 60 kg). Focus on motor control, bodyweight progressions (incline push-ups, dead hangs, box squats), controlled 2-second eccentric tempo.</t>
  </si>
  <si>
    <t>Wednesday</t>
  </si>
  <si>
    <t>REST / Active Recovery (light walk &amp; stretching)</t>
  </si>
  <si>
    <t>Thursday</t>
  </si>
  <si>
    <t>Legs &amp; Glutes (Quads, Hamstrings, Glutes, Calves)</t>
  </si>
  <si>
    <t>Day</t>
  </si>
  <si>
    <t>Friday</t>
  </si>
  <si>
    <t>Exercise Order/Pair</t>
  </si>
  <si>
    <t>Exercise Name</t>
  </si>
  <si>
    <t>Target Muscle Group</t>
  </si>
  <si>
    <t>Target Sets</t>
  </si>
  <si>
    <t>Weight / Progression Level</t>
  </si>
  <si>
    <t>Weight (kg)</t>
  </si>
  <si>
    <t>Reps Achieved</t>
  </si>
  <si>
    <t>Full Body Calisthenics &amp; Functional Tone</t>
  </si>
  <si>
    <t>RPE (1-10)</t>
  </si>
  <si>
    <t>Notes / Progression</t>
  </si>
  <si>
    <t>Saturday</t>
  </si>
  <si>
    <t>Core, Mobility &amp; Conditioning</t>
  </si>
  <si>
    <t>Video Tutorial</t>
  </si>
  <si>
    <t>Sunday</t>
  </si>
  <si>
    <t>REST &amp; Recharge</t>
  </si>
  <si>
    <t>Monday (Push)</t>
  </si>
  <si>
    <t>Guidelines</t>
  </si>
  <si>
    <t>Max 60 minutes total (6-8 min warm-up, 40-45 min lifting/calisthenics, 5-10 min cardio/core). Partner superset swap system to maximize efficiency.</t>
  </si>
  <si>
    <t>Pair 1A</t>
  </si>
  <si>
    <t>Push-Up Progression (Standard or Hand-Release)</t>
  </si>
  <si>
    <t>Chest, Triceps</t>
  </si>
  <si>
    <t>Incline Push-ups (bench/barbell) or Knee Push-ups</t>
  </si>
  <si>
    <t>RPE 7-8</t>
  </si>
  <si>
    <t>Beginner, 2s eccentric</t>
  </si>
  <si>
    <t>Pair 1B</t>
  </si>
  <si>
    <t>Dumbbell Flat Bench Press</t>
  </si>
  <si>
    <t>Beginner, 2-5kg DB</t>
  </si>
  <si>
    <t>Pair 2A</t>
  </si>
  <si>
    <t>Seated Dumbbell Overhead Shoulder Press</t>
  </si>
  <si>
    <t>Shoulders</t>
  </si>
  <si>
    <t>Pair 2B</t>
  </si>
  <si>
    <t>Bodyweight Bench Dips (straight legs)</t>
  </si>
  <si>
    <t>Triceps</t>
  </si>
  <si>
    <t>Pair 3A</t>
  </si>
  <si>
    <t>Dumbbell Lateral Raises</t>
  </si>
  <si>
    <t>Side Delts</t>
  </si>
  <si>
    <t>Bodyweight Bench Dips (bent knees)</t>
  </si>
  <si>
    <t>Pair 3B</t>
  </si>
  <si>
    <t>Cable Tricep Pushdown</t>
  </si>
  <si>
    <t>Tuesday (Pull)</t>
  </si>
  <si>
    <t>Negative (Eccentric) Pull-ups (slow 3-5s lower)</t>
  </si>
  <si>
    <t>Back, Biceps</t>
  </si>
  <si>
    <t>Lat Pulldown (Pulling Machine)</t>
  </si>
  <si>
    <t>Lats &amp; Upper Back</t>
  </si>
  <si>
    <t>Inverted Rows (Barbell set at waist height) or Seated Cable Row</t>
  </si>
  <si>
    <t>Mid Back</t>
  </si>
  <si>
    <t>Dumbbell Romanian Deadlift (RDL)</t>
  </si>
  <si>
    <t>Hamstrings, Glutes, Lower Back</t>
  </si>
  <si>
    <t>Pair 3</t>
  </si>
  <si>
    <t>Dumbbell Bicep Curls</t>
  </si>
  <si>
    <t>Active Dead Hangs / Scapular Pulls</t>
  </si>
  <si>
    <t>Biceps</t>
  </si>
  <si>
    <t>Back, Grip</t>
  </si>
  <si>
    <t>15-25 sec</t>
  </si>
  <si>
    <t>Beginner</t>
  </si>
  <si>
    <t>Thursday (Legs)</t>
  </si>
  <si>
    <t>Dumbbell Goblet Squat</t>
  </si>
  <si>
    <t>Quads, Glutes</t>
  </si>
  <si>
    <t>Dumbbell Glute Bridges / Hip Thrusts</t>
  </si>
  <si>
    <t>Glutes &amp; Hamstrings</t>
  </si>
  <si>
    <t>Dumbbell or Bodyweight Reverse Lunges</t>
  </si>
  <si>
    <t>Quads &amp; Glutes</t>
  </si>
  <si>
    <t>8-10/leg</t>
  </si>
  <si>
    <t>Leg Extension or Leg Curl Machine</t>
  </si>
  <si>
    <t>Quads / Hamstrings</t>
  </si>
  <si>
    <t>Wall Sit Hold</t>
  </si>
  <si>
    <t>Quads</t>
  </si>
  <si>
    <t>30-45s</t>
  </si>
  <si>
    <t>Standing Calf Raises</t>
  </si>
  <si>
    <t>Calves</t>
  </si>
  <si>
    <t>15-20</t>
  </si>
  <si>
    <t>Friday (Full Body)</t>
  </si>
  <si>
    <t>Incline / Floor Push-ups</t>
  </si>
  <si>
    <t>Bodyweight Step-ups (on bench) or Bulgarian Split Squats</t>
  </si>
  <si>
    <t>Lat Pulldown or Inverted Rows</t>
  </si>
  <si>
    <t>Bodyweight Box Squat (to bench) or Light Goblet Squat</t>
  </si>
  <si>
    <t>Bodyweight Glute Bridge (2-second hold at top)</t>
  </si>
  <si>
    <t>Dead Bug</t>
  </si>
  <si>
    <t>Core</t>
  </si>
  <si>
    <t>10/side</t>
  </si>
  <si>
    <t>Mountain Climbers (controlled tempo)</t>
  </si>
  <si>
    <t>Core, Cardio</t>
  </si>
  <si>
    <t>20-30 sec</t>
  </si>
  <si>
    <t>Saturday (Core)</t>
  </si>
  <si>
    <t>Hanging Knee Raises (or Lying Leg Raises)</t>
  </si>
  <si>
    <t>Forearm Plank</t>
  </si>
  <si>
    <t>30-45 sec</t>
  </si>
  <si>
    <t>Russian Twists (Bodyweight or light DB)</t>
  </si>
  <si>
    <t>Obliques</t>
  </si>
  <si>
    <t>16-20 total</t>
  </si>
  <si>
    <t>Dead Bug / Bird Dog</t>
  </si>
  <si>
    <t>Finisher</t>
  </si>
  <si>
    <t>10 mins Treadmill (4.5 km/h, 4-6% inc) &amp; 10 mins Bike</t>
  </si>
  <si>
    <t>Cardio</t>
  </si>
  <si>
    <t>20 mins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</si>
</sst>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b/>
      <sz val="14.0"/>
      <color rgb="FF006A5D"/>
      <name val="Montserrat"/>
    </font>
    <font>
      <sz val="10.0"/>
      <color rgb="FF181B20"/>
      <name val="Roboto"/>
    </font>
    <font>
      <color theme="1"/>
      <name val="Arial"/>
      <scheme val="minor"/>
    </font>
    <font>
      <b/>
      <sz val="11.0"/>
      <color rgb="FFFFFFFF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006A5D"/>
        <bgColor rgb="FF006A5D"/>
      </patternFill>
    </fill>
    <fill>
      <patternFill patternType="solid">
        <fgColor rgb="FFF4FAF7"/>
        <bgColor rgb="FFF4FAF7"/>
      </patternFill>
    </fill>
    <fill>
      <patternFill patternType="solid">
        <fgColor rgb="FF35618E"/>
        <bgColor rgb="FF35618E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readingOrder="0" vertical="center"/>
    </xf>
    <xf borderId="1" fillId="3" fontId="2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/>
    </xf>
    <xf borderId="1" fillId="4" fontId="4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4" fontId="4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4FAF7"/>
          <bgColor rgb="FFF4FAF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Person 1 - Male Log-style">
      <tableStyleElement dxfId="1" type="firstRowStripe"/>
      <tableStyleElement dxfId="2" type="secondRowStripe"/>
    </tableStyle>
    <tableStyle count="2" pivot="0" name="Person 2 - Female Log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6:K21" displayName="Table_1" name="Table_1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erson 1 - Male Log-style" showColumnStripes="0" showFirstColumn="1" showLastColumn="1" showRowStripes="1"/>
</table>
</file>

<file path=xl/tables/table2.xml><?xml version="1.0" encoding="utf-8"?>
<table xmlns="http://schemas.openxmlformats.org/spreadsheetml/2006/main" headerRowCount="0" ref="B6:K21" displayName="Table_2" name="Table_2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erson 2 - Female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1.38"/>
    <col customWidth="1" min="3" max="3" width="62.63"/>
  </cols>
  <sheetData>
    <row r="1" ht="6.75" customHeight="1"/>
    <row r="2">
      <c r="B2" s="1" t="s">
        <v>0</v>
      </c>
      <c r="C2" s="2"/>
    </row>
    <row r="4">
      <c r="B4" s="3" t="s">
        <v>1</v>
      </c>
      <c r="C4" s="4" t="s">
        <v>4</v>
      </c>
    </row>
    <row r="5">
      <c r="B5" s="3" t="s">
        <v>5</v>
      </c>
      <c r="C5" s="4" t="s">
        <v>7</v>
      </c>
    </row>
    <row r="6">
      <c r="B6" s="3" t="s">
        <v>9</v>
      </c>
      <c r="C6" s="4" t="s">
        <v>10</v>
      </c>
    </row>
    <row r="7">
      <c r="B7" s="3" t="s">
        <v>11</v>
      </c>
      <c r="C7" s="4" t="s">
        <v>12</v>
      </c>
    </row>
    <row r="8">
      <c r="B8" s="7" t="s">
        <v>14</v>
      </c>
      <c r="C8" s="7" t="s">
        <v>22</v>
      </c>
    </row>
    <row r="9">
      <c r="B9" s="7" t="s">
        <v>25</v>
      </c>
      <c r="C9" s="7" t="s">
        <v>26</v>
      </c>
    </row>
    <row r="10">
      <c r="B10" s="7" t="s">
        <v>28</v>
      </c>
      <c r="C10" s="7" t="s">
        <v>29</v>
      </c>
    </row>
    <row r="11">
      <c r="B11" s="7" t="s">
        <v>31</v>
      </c>
      <c r="C11" s="7" t="s">
        <v>32</v>
      </c>
    </row>
  </sheetData>
  <conditionalFormatting sqref="B4:C11">
    <cfRule type="expression" dxfId="3" priority="1" stopIfTrue="1">
      <formula>ISEVEN(ROW())</formula>
    </cfRule>
  </conditionalFormatting>
  <conditionalFormatting sqref="B4:C11">
    <cfRule type="expression" dxfId="4" priority="2" stopIfTrue="1">
      <formula>ISODD(ROW())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71.0"/>
    <col customWidth="1" min="3" max="3" width="17.75"/>
    <col customWidth="1" min="4" max="4" width="14.13"/>
    <col customWidth="1" min="5" max="5" width="18.88"/>
    <col customWidth="1" min="6" max="6" width="11.38"/>
    <col customWidth="1" min="7" max="7" width="11.75"/>
    <col customWidth="1" min="8" max="8" width="11.5"/>
    <col customWidth="1" min="9" max="9" width="14.13"/>
    <col customWidth="1" min="10" max="10" width="11.0"/>
    <col customWidth="1" min="11" max="11" width="18.25"/>
    <col customWidth="1" min="12" max="12" width="84.88"/>
  </cols>
  <sheetData>
    <row r="1" ht="6.75" customHeight="1"/>
    <row r="2">
      <c r="B2" s="1" t="s">
        <v>2</v>
      </c>
      <c r="C2" s="2"/>
      <c r="D2" s="2"/>
      <c r="E2" s="2"/>
      <c r="F2" s="2"/>
      <c r="G2" s="2"/>
      <c r="H2" s="2"/>
      <c r="I2" s="2"/>
      <c r="J2" s="2"/>
      <c r="K2" s="2"/>
    </row>
    <row r="3">
      <c r="B3" s="5" t="s">
        <v>6</v>
      </c>
    </row>
    <row r="5">
      <c r="B5" s="6" t="s">
        <v>13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23</v>
      </c>
      <c r="K5" s="6" t="s">
        <v>24</v>
      </c>
      <c r="L5" s="8" t="s">
        <v>27</v>
      </c>
    </row>
    <row r="6">
      <c r="B6" s="9" t="s">
        <v>30</v>
      </c>
      <c r="C6" s="9" t="s">
        <v>33</v>
      </c>
      <c r="D6" s="9" t="s">
        <v>34</v>
      </c>
      <c r="E6" s="9" t="s">
        <v>35</v>
      </c>
      <c r="F6" s="9">
        <v>3.0</v>
      </c>
      <c r="G6" s="10">
        <v>46246.0</v>
      </c>
      <c r="H6" s="11"/>
      <c r="I6" s="11"/>
      <c r="J6" s="11"/>
      <c r="K6" s="9" t="s">
        <v>37</v>
      </c>
      <c r="L6" s="12" t="str">
        <f>HYPERLINK("https://www.youtube.com/watch?v=N4TVYoXKk-8", "Watch Tutorial")</f>
        <v>Watch Tutorial</v>
      </c>
    </row>
    <row r="7">
      <c r="B7" s="9" t="s">
        <v>30</v>
      </c>
      <c r="C7" s="9" t="s">
        <v>39</v>
      </c>
      <c r="D7" s="9" t="s">
        <v>40</v>
      </c>
      <c r="E7" s="9" t="s">
        <v>35</v>
      </c>
      <c r="F7" s="9">
        <v>3.0</v>
      </c>
      <c r="G7" s="10">
        <v>46246.0</v>
      </c>
      <c r="H7" s="11"/>
      <c r="I7" s="11"/>
      <c r="J7" s="11"/>
      <c r="K7" s="9" t="s">
        <v>37</v>
      </c>
      <c r="L7" s="12" t="str">
        <f>HYPERLINK("https://www.youtube.com/watch?v=1V3vpcaxRYQ", "Watch Tutorial")</f>
        <v>Watch Tutorial</v>
      </c>
    </row>
    <row r="8">
      <c r="B8" s="9" t="s">
        <v>30</v>
      </c>
      <c r="C8" s="9" t="s">
        <v>42</v>
      </c>
      <c r="D8" s="9" t="s">
        <v>43</v>
      </c>
      <c r="E8" s="9" t="s">
        <v>44</v>
      </c>
      <c r="F8" s="9">
        <v>3.0</v>
      </c>
      <c r="G8" s="10">
        <v>46307.0</v>
      </c>
      <c r="H8" s="11"/>
      <c r="I8" s="11"/>
      <c r="J8" s="11"/>
      <c r="K8" s="9" t="s">
        <v>37</v>
      </c>
      <c r="L8" s="12" t="str">
        <f>HYPERLINK("https://www.youtube.com/watch?v=rO_iEImwHyo", "Watch Tutorial")</f>
        <v>Watch Tutorial</v>
      </c>
    </row>
    <row r="9">
      <c r="B9" s="9" t="s">
        <v>30</v>
      </c>
      <c r="C9" s="9" t="s">
        <v>45</v>
      </c>
      <c r="D9" s="9" t="s">
        <v>46</v>
      </c>
      <c r="E9" s="9" t="s">
        <v>47</v>
      </c>
      <c r="F9" s="9">
        <v>3.0</v>
      </c>
      <c r="G9" s="10">
        <v>46307.0</v>
      </c>
      <c r="H9" s="11"/>
      <c r="I9" s="11"/>
      <c r="J9" s="11"/>
      <c r="K9" s="9" t="s">
        <v>37</v>
      </c>
      <c r="L9" s="12" t="str">
        <f>HYPERLINK("https://www.youtube.com/watch?v=0326dy_-CzM", "Watch Tutorial")</f>
        <v>Watch Tutorial</v>
      </c>
    </row>
    <row r="10">
      <c r="B10" s="9" t="s">
        <v>30</v>
      </c>
      <c r="C10" s="9" t="s">
        <v>48</v>
      </c>
      <c r="D10" s="9" t="s">
        <v>49</v>
      </c>
      <c r="E10" s="9" t="s">
        <v>50</v>
      </c>
      <c r="F10" s="9">
        <v>3.0</v>
      </c>
      <c r="G10" s="10">
        <v>46371.0</v>
      </c>
      <c r="H10" s="11"/>
      <c r="I10" s="11"/>
      <c r="J10" s="11"/>
      <c r="K10" s="9" t="s">
        <v>37</v>
      </c>
      <c r="L10" s="12" t="str">
        <f>HYPERLINK("https://www.youtube.com/watch?v=Y29xKcze8Ik", "Watch Tutorial")</f>
        <v>Watch Tutorial</v>
      </c>
    </row>
    <row r="11">
      <c r="B11" s="9" t="s">
        <v>30</v>
      </c>
      <c r="C11" s="9" t="s">
        <v>52</v>
      </c>
      <c r="D11" s="9" t="s">
        <v>53</v>
      </c>
      <c r="E11" s="9" t="s">
        <v>47</v>
      </c>
      <c r="F11" s="9">
        <v>3.0</v>
      </c>
      <c r="G11" s="10">
        <v>46371.0</v>
      </c>
      <c r="H11" s="11"/>
      <c r="I11" s="11"/>
      <c r="J11" s="11"/>
      <c r="K11" s="9" t="s">
        <v>37</v>
      </c>
      <c r="L11" s="7" t="str">
        <f>HYPERLINK("https://www.youtube.com/watch?v=-zLyUAo1gMw", "Watch Tutorial")</f>
        <v>Watch Tutorial</v>
      </c>
    </row>
    <row r="12">
      <c r="B12" s="9" t="s">
        <v>54</v>
      </c>
      <c r="C12" s="9" t="s">
        <v>33</v>
      </c>
      <c r="D12" s="9" t="s">
        <v>55</v>
      </c>
      <c r="E12" s="9" t="s">
        <v>56</v>
      </c>
      <c r="F12" s="9">
        <v>3.0</v>
      </c>
      <c r="G12" s="10">
        <v>46118.0</v>
      </c>
      <c r="H12" s="11"/>
      <c r="I12" s="11"/>
      <c r="J12" s="11"/>
      <c r="K12" s="9" t="s">
        <v>37</v>
      </c>
      <c r="L12" s="12" t="str">
        <f>HYPERLINK("https://www.youtube.com/watch?v=gbPURTSxQLY", "Watch Tutorial")</f>
        <v>Watch Tutorial</v>
      </c>
    </row>
    <row r="13">
      <c r="B13" s="9" t="s">
        <v>54</v>
      </c>
      <c r="C13" s="9" t="s">
        <v>39</v>
      </c>
      <c r="D13" s="9" t="s">
        <v>57</v>
      </c>
      <c r="E13" s="9" t="s">
        <v>58</v>
      </c>
      <c r="F13" s="9">
        <v>3.0</v>
      </c>
      <c r="G13" s="10">
        <v>46307.0</v>
      </c>
      <c r="H13" s="11"/>
      <c r="I13" s="11"/>
      <c r="J13" s="11"/>
      <c r="K13" s="9" t="s">
        <v>37</v>
      </c>
      <c r="L13" s="12" t="str">
        <f>HYPERLINK("https://www.youtube.com/watch?v=SALxEARiMkw", "Watch Tutorial")</f>
        <v>Watch Tutorial</v>
      </c>
    </row>
    <row r="14">
      <c r="B14" s="9" t="s">
        <v>54</v>
      </c>
      <c r="C14" s="9" t="s">
        <v>42</v>
      </c>
      <c r="D14" s="9" t="s">
        <v>59</v>
      </c>
      <c r="E14" s="9" t="s">
        <v>60</v>
      </c>
      <c r="F14" s="9">
        <v>3.0</v>
      </c>
      <c r="G14" s="10">
        <v>46244.0</v>
      </c>
      <c r="H14" s="11"/>
      <c r="I14" s="11"/>
      <c r="J14" s="11"/>
      <c r="K14" s="9" t="s">
        <v>37</v>
      </c>
      <c r="L14" s="12" t="str">
        <f>HYPERLINK("https://www.youtube.com/watch?v=vwHG9Jfu4sw", "Watch Tutorial")</f>
        <v>Watch Tutorial</v>
      </c>
    </row>
    <row r="15">
      <c r="B15" s="9" t="s">
        <v>54</v>
      </c>
      <c r="C15" s="9" t="s">
        <v>45</v>
      </c>
      <c r="D15" s="9" t="s">
        <v>61</v>
      </c>
      <c r="E15" s="9" t="s">
        <v>62</v>
      </c>
      <c r="F15" s="9">
        <v>3.0</v>
      </c>
      <c r="G15" s="10">
        <v>46307.0</v>
      </c>
      <c r="H15" s="11"/>
      <c r="I15" s="11"/>
      <c r="J15" s="11"/>
      <c r="K15" s="9" t="s">
        <v>37</v>
      </c>
      <c r="L15" s="12" t="str">
        <f>HYPERLINK("https://www.youtube.com/watch?v=hQgFixeXdZo", "Watch Tutorial")</f>
        <v>Watch Tutorial</v>
      </c>
    </row>
    <row r="16">
      <c r="B16" s="9" t="s">
        <v>54</v>
      </c>
      <c r="C16" s="9" t="s">
        <v>63</v>
      </c>
      <c r="D16" s="9" t="s">
        <v>64</v>
      </c>
      <c r="E16" s="9" t="s">
        <v>66</v>
      </c>
      <c r="F16" s="9">
        <v>3.0</v>
      </c>
      <c r="G16" s="10">
        <v>46307.0</v>
      </c>
      <c r="H16" s="11"/>
      <c r="I16" s="11"/>
      <c r="J16" s="11"/>
      <c r="K16" s="9" t="s">
        <v>37</v>
      </c>
      <c r="L16" s="7" t="str">
        <f>HYPERLINK("https://www.youtube.com/watch?v=XE_pHwbst04", "Watch Tutorial")</f>
        <v>Watch Tutorial</v>
      </c>
    </row>
    <row r="17">
      <c r="B17" s="9" t="s">
        <v>70</v>
      </c>
      <c r="C17" s="9" t="s">
        <v>33</v>
      </c>
      <c r="D17" s="9" t="s">
        <v>71</v>
      </c>
      <c r="E17" s="9" t="s">
        <v>72</v>
      </c>
      <c r="F17" s="9">
        <v>3.0</v>
      </c>
      <c r="G17" s="10">
        <v>46307.0</v>
      </c>
      <c r="H17" s="11"/>
      <c r="I17" s="11"/>
      <c r="J17" s="11"/>
      <c r="K17" s="9" t="s">
        <v>37</v>
      </c>
      <c r="L17" s="12" t="str">
        <f>HYPERLINK("https://www.youtube.com/watch?v=9KzZD_n2r64", "Watch Tutorial")</f>
        <v>Watch Tutorial</v>
      </c>
    </row>
    <row r="18">
      <c r="B18" s="9" t="s">
        <v>70</v>
      </c>
      <c r="C18" s="9" t="s">
        <v>39</v>
      </c>
      <c r="D18" s="9" t="s">
        <v>73</v>
      </c>
      <c r="E18" s="9" t="s">
        <v>74</v>
      </c>
      <c r="F18" s="9">
        <v>3.0</v>
      </c>
      <c r="G18" s="10">
        <v>46307.0</v>
      </c>
      <c r="H18" s="11"/>
      <c r="I18" s="11"/>
      <c r="J18" s="11"/>
      <c r="K18" s="9" t="s">
        <v>37</v>
      </c>
      <c r="L18" s="12" t="str">
        <f>HYPERLINK("https://www.youtube.com/watch?v=V-Pk0ZfoszU", "Watch Tutorial")</f>
        <v>Watch Tutorial</v>
      </c>
    </row>
    <row r="19">
      <c r="B19" s="9" t="s">
        <v>70</v>
      </c>
      <c r="C19" s="9" t="s">
        <v>42</v>
      </c>
      <c r="D19" s="9" t="s">
        <v>75</v>
      </c>
      <c r="E19" s="9" t="s">
        <v>76</v>
      </c>
      <c r="F19" s="9">
        <v>3.0</v>
      </c>
      <c r="G19" s="9" t="s">
        <v>77</v>
      </c>
      <c r="H19" s="11"/>
      <c r="I19" s="11"/>
      <c r="J19" s="11"/>
      <c r="K19" s="9" t="s">
        <v>37</v>
      </c>
      <c r="L19" s="12" t="str">
        <f>HYPERLINK("https://www.youtube.com/watch?v=RZKXLMxPF_I", "Watch Tutorial")</f>
        <v>Watch Tutorial</v>
      </c>
    </row>
    <row r="20">
      <c r="B20" s="9" t="s">
        <v>70</v>
      </c>
      <c r="C20" s="9" t="s">
        <v>45</v>
      </c>
      <c r="D20" s="9" t="s">
        <v>78</v>
      </c>
      <c r="E20" s="9" t="s">
        <v>79</v>
      </c>
      <c r="F20" s="9">
        <v>3.0</v>
      </c>
      <c r="G20" s="10">
        <v>46371.0</v>
      </c>
      <c r="H20" s="11"/>
      <c r="I20" s="11"/>
      <c r="J20" s="11"/>
      <c r="K20" s="9" t="s">
        <v>37</v>
      </c>
      <c r="L20" s="7" t="str">
        <f>HYPERLINK("https://www.youtube.com/watch?v=-PiO10ilRYc", "Watch Tutorial")</f>
        <v>Watch Tutorial</v>
      </c>
    </row>
    <row r="21">
      <c r="B21" s="9" t="s">
        <v>70</v>
      </c>
      <c r="C21" s="9" t="s">
        <v>48</v>
      </c>
      <c r="D21" s="9" t="s">
        <v>80</v>
      </c>
      <c r="E21" s="9" t="s">
        <v>81</v>
      </c>
      <c r="F21" s="9">
        <v>3.0</v>
      </c>
      <c r="G21" s="9" t="s">
        <v>82</v>
      </c>
      <c r="H21" s="11"/>
      <c r="I21" s="11"/>
      <c r="J21" s="11"/>
      <c r="K21" s="9" t="s">
        <v>37</v>
      </c>
      <c r="L21" s="12"/>
    </row>
    <row r="22">
      <c r="B22" s="7" t="s">
        <v>70</v>
      </c>
      <c r="C22" s="7" t="s">
        <v>52</v>
      </c>
      <c r="D22" s="7" t="s">
        <v>83</v>
      </c>
      <c r="E22" s="7" t="s">
        <v>84</v>
      </c>
      <c r="F22" s="7">
        <v>3.0</v>
      </c>
      <c r="G22" s="7" t="s">
        <v>85</v>
      </c>
      <c r="H22" s="12"/>
      <c r="I22" s="12"/>
      <c r="J22" s="12"/>
      <c r="K22" s="7" t="s">
        <v>37</v>
      </c>
      <c r="L22" s="12"/>
    </row>
    <row r="23">
      <c r="B23" s="7" t="s">
        <v>86</v>
      </c>
      <c r="C23" s="7" t="s">
        <v>33</v>
      </c>
      <c r="D23" s="7" t="s">
        <v>87</v>
      </c>
      <c r="E23" s="7" t="s">
        <v>35</v>
      </c>
      <c r="F23" s="7">
        <v>3.0</v>
      </c>
      <c r="G23" s="13">
        <v>46246.0</v>
      </c>
      <c r="H23" s="12"/>
      <c r="I23" s="12"/>
      <c r="J23" s="12"/>
      <c r="K23" s="7" t="s">
        <v>37</v>
      </c>
      <c r="L23" s="12" t="str">
        <f>HYPERLINK("https://www.youtube.com/watch?v=N4TVYoXKk-8", "Watch Tutorial")</f>
        <v>Watch Tutorial</v>
      </c>
    </row>
    <row r="24">
      <c r="B24" s="7" t="s">
        <v>86</v>
      </c>
      <c r="C24" s="7" t="s">
        <v>39</v>
      </c>
      <c r="D24" s="7" t="s">
        <v>88</v>
      </c>
      <c r="E24" s="7" t="s">
        <v>72</v>
      </c>
      <c r="F24" s="7">
        <v>3.0</v>
      </c>
      <c r="G24" s="7" t="s">
        <v>77</v>
      </c>
      <c r="H24" s="12"/>
      <c r="I24" s="12"/>
      <c r="J24" s="12"/>
      <c r="K24" s="7" t="s">
        <v>37</v>
      </c>
      <c r="L24" s="12" t="str">
        <f>HYPERLINK("https://www.youtube.com/watch?v=RZKXLMxPF_I", "Watch Tutorial")</f>
        <v>Watch Tutorial</v>
      </c>
    </row>
    <row r="25">
      <c r="B25" s="7" t="s">
        <v>86</v>
      </c>
      <c r="C25" s="7" t="s">
        <v>42</v>
      </c>
      <c r="D25" s="7" t="s">
        <v>89</v>
      </c>
      <c r="E25" s="7" t="s">
        <v>56</v>
      </c>
      <c r="F25" s="7">
        <v>3.0</v>
      </c>
      <c r="G25" s="13">
        <v>46307.0</v>
      </c>
      <c r="H25" s="12"/>
      <c r="I25" s="12"/>
      <c r="J25" s="12"/>
      <c r="K25" s="7" t="s">
        <v>37</v>
      </c>
      <c r="L25" s="12" t="str">
        <f>HYPERLINK("https://www.youtube.com/watch?v=SALxEARiMkw", "Watch Tutorial")</f>
        <v>Watch Tutorial</v>
      </c>
    </row>
    <row r="26">
      <c r="B26" s="7" t="s">
        <v>86</v>
      </c>
      <c r="C26" s="7" t="s">
        <v>45</v>
      </c>
      <c r="D26" s="7" t="s">
        <v>91</v>
      </c>
      <c r="E26" s="7" t="s">
        <v>74</v>
      </c>
      <c r="F26" s="7">
        <v>3.0</v>
      </c>
      <c r="G26" s="13">
        <v>46371.0</v>
      </c>
      <c r="H26" s="12"/>
      <c r="I26" s="12"/>
      <c r="J26" s="12"/>
      <c r="K26" s="7" t="s">
        <v>37</v>
      </c>
      <c r="L26" s="12" t="str">
        <f>HYPERLINK("https://www.youtube.com/watch?v=V-Pk0ZfoszU", "Watch Tutorial")</f>
        <v>Watch Tutorial</v>
      </c>
    </row>
    <row r="27">
      <c r="B27" s="7" t="s">
        <v>86</v>
      </c>
      <c r="C27" s="7" t="s">
        <v>48</v>
      </c>
      <c r="D27" s="7" t="s">
        <v>92</v>
      </c>
      <c r="E27" s="7" t="s">
        <v>93</v>
      </c>
      <c r="F27" s="7">
        <v>3.0</v>
      </c>
      <c r="G27" s="7" t="s">
        <v>94</v>
      </c>
      <c r="H27" s="12"/>
      <c r="I27" s="12"/>
      <c r="J27" s="12"/>
      <c r="K27" s="7" t="s">
        <v>37</v>
      </c>
      <c r="L27" s="12" t="str">
        <f>HYPERLINK("https://www.youtube.com/watch?v=GbSC02oU3To", "Watch Tutorial")</f>
        <v>Watch Tutorial</v>
      </c>
    </row>
    <row r="28">
      <c r="B28" s="7" t="s">
        <v>86</v>
      </c>
      <c r="C28" s="7" t="s">
        <v>52</v>
      </c>
      <c r="D28" s="7" t="s">
        <v>95</v>
      </c>
      <c r="E28" s="7" t="s">
        <v>96</v>
      </c>
      <c r="F28" s="7">
        <v>3.0</v>
      </c>
      <c r="G28" s="7" t="s">
        <v>97</v>
      </c>
      <c r="H28" s="12"/>
      <c r="I28" s="12"/>
      <c r="J28" s="12"/>
      <c r="K28" s="7" t="s">
        <v>37</v>
      </c>
      <c r="L28" s="12"/>
    </row>
    <row r="29">
      <c r="B29" s="7" t="s">
        <v>98</v>
      </c>
      <c r="C29" s="7" t="s">
        <v>33</v>
      </c>
      <c r="D29" s="7" t="s">
        <v>99</v>
      </c>
      <c r="E29" s="7" t="s">
        <v>93</v>
      </c>
      <c r="F29" s="7">
        <v>3.0</v>
      </c>
      <c r="G29" s="13">
        <v>46307.0</v>
      </c>
      <c r="H29" s="12"/>
      <c r="I29" s="12"/>
      <c r="J29" s="12"/>
      <c r="K29" s="7" t="s">
        <v>37</v>
      </c>
      <c r="L29" s="12" t="str">
        <f>HYPERLINK("https://www.youtube.com/watch?v=X-ACS9vpRyU", "Watch Tutorial")</f>
        <v>Watch Tutorial</v>
      </c>
    </row>
    <row r="30">
      <c r="B30" s="7" t="s">
        <v>98</v>
      </c>
      <c r="C30" s="7" t="s">
        <v>39</v>
      </c>
      <c r="D30" s="7" t="s">
        <v>100</v>
      </c>
      <c r="E30" s="7" t="s">
        <v>93</v>
      </c>
      <c r="F30" s="7">
        <v>3.0</v>
      </c>
      <c r="G30" s="7" t="s">
        <v>101</v>
      </c>
      <c r="H30" s="12"/>
      <c r="I30" s="12"/>
      <c r="J30" s="12"/>
      <c r="K30" s="7" t="s">
        <v>37</v>
      </c>
      <c r="L30" s="12" t="str">
        <f>HYPERLINK("https://www.youtube.com/watch?v=A2b2EmIg0dA", "Watch Tutorial")</f>
        <v>Watch Tutorial</v>
      </c>
    </row>
    <row r="31">
      <c r="B31" s="7" t="s">
        <v>98</v>
      </c>
      <c r="C31" s="7" t="s">
        <v>42</v>
      </c>
      <c r="D31" s="7" t="s">
        <v>102</v>
      </c>
      <c r="E31" s="7" t="s">
        <v>103</v>
      </c>
      <c r="F31" s="7">
        <v>3.0</v>
      </c>
      <c r="G31" s="7" t="s">
        <v>104</v>
      </c>
      <c r="H31" s="12"/>
      <c r="I31" s="12"/>
      <c r="J31" s="12"/>
      <c r="K31" s="7" t="s">
        <v>37</v>
      </c>
      <c r="L31" s="12" t="str">
        <f>HYPERLINK("https://www.youtube.com/watch?v=wkD8rjkodUI", "Watch Tutorial")</f>
        <v>Watch Tutorial</v>
      </c>
    </row>
    <row r="32">
      <c r="B32" s="7" t="s">
        <v>98</v>
      </c>
      <c r="C32" s="7" t="s">
        <v>45</v>
      </c>
      <c r="D32" s="7" t="s">
        <v>105</v>
      </c>
      <c r="E32" s="7" t="s">
        <v>93</v>
      </c>
      <c r="F32" s="7">
        <v>3.0</v>
      </c>
      <c r="G32" s="7" t="s">
        <v>94</v>
      </c>
      <c r="H32" s="12"/>
      <c r="I32" s="12"/>
      <c r="J32" s="12"/>
      <c r="K32" s="7" t="s">
        <v>37</v>
      </c>
      <c r="L32" s="12" t="str">
        <f>HYPERLINK("https://www.youtube.com/watch?v=GbSC02oU3To", "Watch Tutorial")</f>
        <v>Watch Tutorial</v>
      </c>
    </row>
    <row r="33">
      <c r="B33" s="7" t="s">
        <v>98</v>
      </c>
      <c r="C33" s="7" t="s">
        <v>106</v>
      </c>
      <c r="D33" s="7" t="s">
        <v>107</v>
      </c>
      <c r="E33" s="7" t="s">
        <v>108</v>
      </c>
      <c r="F33" s="7">
        <v>1.0</v>
      </c>
      <c r="G33" s="7" t="s">
        <v>109</v>
      </c>
      <c r="H33" s="12"/>
      <c r="I33" s="12"/>
      <c r="J33" s="12"/>
      <c r="K33" s="7" t="s">
        <v>37</v>
      </c>
      <c r="L33" s="12"/>
    </row>
  </sheetData>
  <conditionalFormatting sqref="B6:L33">
    <cfRule type="expression" dxfId="3" priority="1" stopIfTrue="1">
      <formula>ISEVEN(ROW())</formula>
    </cfRule>
  </conditionalFormatting>
  <conditionalFormatting sqref="B6:L33">
    <cfRule type="expression" dxfId="4" priority="2" stopIfTrue="1">
      <formula>ISODD(ROW())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91.75"/>
    <col customWidth="1" min="3" max="3" width="17.75"/>
    <col customWidth="1" min="4" max="4" width="14.13"/>
    <col customWidth="1" min="5" max="5" width="18.88"/>
    <col customWidth="1" min="6" max="6" width="11.38"/>
    <col customWidth="1" min="7" max="7" width="11.75"/>
    <col customWidth="1" min="8" max="8" width="11.5"/>
    <col customWidth="1" min="9" max="9" width="14.13"/>
    <col customWidth="1" min="10" max="10" width="11.0"/>
    <col customWidth="1" min="11" max="11" width="18.25"/>
    <col customWidth="1" min="12" max="12" width="84.88"/>
  </cols>
  <sheetData>
    <row r="1" ht="6.75" customHeight="1"/>
    <row r="2">
      <c r="B2" s="1" t="s">
        <v>3</v>
      </c>
      <c r="C2" s="2"/>
      <c r="D2" s="2"/>
      <c r="E2" s="2"/>
      <c r="F2" s="2"/>
      <c r="G2" s="2"/>
      <c r="H2" s="2"/>
      <c r="I2" s="2"/>
      <c r="J2" s="2"/>
      <c r="K2" s="2"/>
    </row>
    <row r="3">
      <c r="B3" s="5" t="s">
        <v>8</v>
      </c>
    </row>
    <row r="5">
      <c r="B5" s="6" t="s">
        <v>13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23</v>
      </c>
      <c r="K5" s="6" t="s">
        <v>24</v>
      </c>
      <c r="L5" s="8" t="s">
        <v>27</v>
      </c>
    </row>
    <row r="6">
      <c r="B6" s="9" t="s">
        <v>30</v>
      </c>
      <c r="C6" s="9" t="s">
        <v>33</v>
      </c>
      <c r="D6" s="9" t="s">
        <v>36</v>
      </c>
      <c r="E6" s="9" t="s">
        <v>35</v>
      </c>
      <c r="F6" s="9">
        <v>3.0</v>
      </c>
      <c r="G6" s="10">
        <v>46244.0</v>
      </c>
      <c r="H6" s="11"/>
      <c r="I6" s="11"/>
      <c r="J6" s="11"/>
      <c r="K6" s="9" t="s">
        <v>38</v>
      </c>
      <c r="L6" s="12" t="str">
        <f>HYPERLINK("https://www.youtube.com/watch?v=N4TVYoXKk-8", "Watch Tutorial")</f>
        <v>Watch Tutorial</v>
      </c>
    </row>
    <row r="7">
      <c r="B7" s="9" t="s">
        <v>30</v>
      </c>
      <c r="C7" s="9" t="s">
        <v>39</v>
      </c>
      <c r="D7" s="9" t="s">
        <v>40</v>
      </c>
      <c r="E7" s="9" t="s">
        <v>35</v>
      </c>
      <c r="F7" s="9">
        <v>3.0</v>
      </c>
      <c r="G7" s="10">
        <v>46246.0</v>
      </c>
      <c r="H7" s="11"/>
      <c r="I7" s="11"/>
      <c r="J7" s="11"/>
      <c r="K7" s="9" t="s">
        <v>41</v>
      </c>
      <c r="L7" s="12" t="str">
        <f>HYPERLINK("https://www.youtube.com/watch?v=1V3vpcaxRYQ", "Watch Tutorial")</f>
        <v>Watch Tutorial</v>
      </c>
    </row>
    <row r="8">
      <c r="B8" s="9" t="s">
        <v>30</v>
      </c>
      <c r="C8" s="9" t="s">
        <v>42</v>
      </c>
      <c r="D8" s="9" t="s">
        <v>43</v>
      </c>
      <c r="E8" s="9" t="s">
        <v>44</v>
      </c>
      <c r="F8" s="9">
        <v>3.0</v>
      </c>
      <c r="G8" s="10">
        <v>46307.0</v>
      </c>
      <c r="H8" s="11"/>
      <c r="I8" s="11"/>
      <c r="J8" s="11"/>
      <c r="K8" s="9" t="s">
        <v>41</v>
      </c>
      <c r="L8" s="12" t="str">
        <f>HYPERLINK("https://www.youtube.com/watch?v=rO_iEImwHyo", "Watch Tutorial")</f>
        <v>Watch Tutorial</v>
      </c>
    </row>
    <row r="9">
      <c r="B9" s="9" t="s">
        <v>30</v>
      </c>
      <c r="C9" s="9" t="s">
        <v>45</v>
      </c>
      <c r="D9" s="9" t="s">
        <v>51</v>
      </c>
      <c r="E9" s="9" t="s">
        <v>47</v>
      </c>
      <c r="F9" s="9">
        <v>3.0</v>
      </c>
      <c r="G9" s="10">
        <v>46307.0</v>
      </c>
      <c r="H9" s="11"/>
      <c r="I9" s="11"/>
      <c r="J9" s="11"/>
      <c r="K9" s="9" t="s">
        <v>38</v>
      </c>
      <c r="L9" s="12" t="str">
        <f>HYPERLINK("https://www.youtube.com/watch?v=0326dy_-CzM", "Watch Tutorial")</f>
        <v>Watch Tutorial</v>
      </c>
    </row>
    <row r="10">
      <c r="B10" s="9" t="s">
        <v>30</v>
      </c>
      <c r="C10" s="9" t="s">
        <v>48</v>
      </c>
      <c r="D10" s="9" t="s">
        <v>49</v>
      </c>
      <c r="E10" s="9" t="s">
        <v>50</v>
      </c>
      <c r="F10" s="9">
        <v>3.0</v>
      </c>
      <c r="G10" s="10">
        <v>46371.0</v>
      </c>
      <c r="H10" s="11"/>
      <c r="I10" s="11"/>
      <c r="J10" s="11"/>
      <c r="K10" s="9" t="s">
        <v>41</v>
      </c>
      <c r="L10" s="12" t="str">
        <f>HYPERLINK("https://www.youtube.com/watch?v=Y29xKcze8Ik", "Watch Tutorial")</f>
        <v>Watch Tutorial</v>
      </c>
    </row>
    <row r="11">
      <c r="B11" s="9" t="s">
        <v>30</v>
      </c>
      <c r="C11" s="9" t="s">
        <v>52</v>
      </c>
      <c r="D11" s="9" t="s">
        <v>53</v>
      </c>
      <c r="E11" s="9" t="s">
        <v>47</v>
      </c>
      <c r="F11" s="9">
        <v>3.0</v>
      </c>
      <c r="G11" s="10">
        <v>46371.0</v>
      </c>
      <c r="H11" s="11"/>
      <c r="I11" s="11"/>
      <c r="J11" s="11"/>
      <c r="K11" s="9" t="s">
        <v>38</v>
      </c>
      <c r="L11" s="7" t="str">
        <f>HYPERLINK("https://www.youtube.com/watch?v=-zLyUAo1gMw", "Watch Tutorial")</f>
        <v>Watch Tutorial</v>
      </c>
    </row>
    <row r="12">
      <c r="B12" s="9" t="s">
        <v>54</v>
      </c>
      <c r="C12" s="9" t="s">
        <v>33</v>
      </c>
      <c r="D12" s="9" t="s">
        <v>65</v>
      </c>
      <c r="E12" s="9" t="s">
        <v>67</v>
      </c>
      <c r="F12" s="9">
        <v>3.0</v>
      </c>
      <c r="G12" s="9" t="s">
        <v>68</v>
      </c>
      <c r="H12" s="11"/>
      <c r="I12" s="11"/>
      <c r="J12" s="11"/>
      <c r="K12" s="9" t="s">
        <v>69</v>
      </c>
      <c r="L12" s="12" t="str">
        <f>HYPERLINK("https://www.youtube.com/watch?v=dOCQjaasbGs", "Watch Tutorial")</f>
        <v>Watch Tutorial</v>
      </c>
    </row>
    <row r="13">
      <c r="B13" s="9" t="s">
        <v>54</v>
      </c>
      <c r="C13" s="9" t="s">
        <v>39</v>
      </c>
      <c r="D13" s="9" t="s">
        <v>57</v>
      </c>
      <c r="E13" s="9" t="s">
        <v>58</v>
      </c>
      <c r="F13" s="9">
        <v>3.0</v>
      </c>
      <c r="G13" s="10">
        <v>46307.0</v>
      </c>
      <c r="H13" s="11"/>
      <c r="I13" s="11"/>
      <c r="J13" s="11"/>
      <c r="K13" s="9" t="s">
        <v>38</v>
      </c>
      <c r="L13" s="12" t="str">
        <f>HYPERLINK("https://www.youtube.com/watch?v=SALxEARiMkw", "Watch Tutorial")</f>
        <v>Watch Tutorial</v>
      </c>
    </row>
    <row r="14">
      <c r="B14" s="9" t="s">
        <v>54</v>
      </c>
      <c r="C14" s="9" t="s">
        <v>42</v>
      </c>
      <c r="D14" s="9" t="s">
        <v>59</v>
      </c>
      <c r="E14" s="9" t="s">
        <v>60</v>
      </c>
      <c r="F14" s="9">
        <v>3.0</v>
      </c>
      <c r="G14" s="10">
        <v>46244.0</v>
      </c>
      <c r="H14" s="11"/>
      <c r="I14" s="11"/>
      <c r="J14" s="11"/>
      <c r="K14" s="9" t="s">
        <v>38</v>
      </c>
      <c r="L14" s="12" t="str">
        <f>HYPERLINK("https://www.youtube.com/watch?v=vwHG9Jfu4sw", "Watch Tutorial")</f>
        <v>Watch Tutorial</v>
      </c>
    </row>
    <row r="15">
      <c r="B15" s="9" t="s">
        <v>54</v>
      </c>
      <c r="C15" s="9" t="s">
        <v>45</v>
      </c>
      <c r="D15" s="9" t="s">
        <v>61</v>
      </c>
      <c r="E15" s="9" t="s">
        <v>62</v>
      </c>
      <c r="F15" s="9">
        <v>3.0</v>
      </c>
      <c r="G15" s="10">
        <v>46307.0</v>
      </c>
      <c r="H15" s="11"/>
      <c r="I15" s="11"/>
      <c r="J15" s="11"/>
      <c r="K15" s="9" t="s">
        <v>41</v>
      </c>
      <c r="L15" s="12" t="str">
        <f>HYPERLINK("https://www.youtube.com/watch?v=hQgFixeXdZo", "Watch Tutorial")</f>
        <v>Watch Tutorial</v>
      </c>
    </row>
    <row r="16">
      <c r="B16" s="9" t="s">
        <v>54</v>
      </c>
      <c r="C16" s="9" t="s">
        <v>63</v>
      </c>
      <c r="D16" s="9" t="s">
        <v>64</v>
      </c>
      <c r="E16" s="9" t="s">
        <v>66</v>
      </c>
      <c r="F16" s="9">
        <v>3.0</v>
      </c>
      <c r="G16" s="10">
        <v>46307.0</v>
      </c>
      <c r="H16" s="11"/>
      <c r="I16" s="11"/>
      <c r="J16" s="11"/>
      <c r="K16" s="9" t="s">
        <v>41</v>
      </c>
      <c r="L16" s="7" t="str">
        <f>HYPERLINK("https://www.youtube.com/watch?v=XE_pHwbst04", "Watch Tutorial")</f>
        <v>Watch Tutorial</v>
      </c>
    </row>
    <row r="17">
      <c r="B17" s="9" t="s">
        <v>70</v>
      </c>
      <c r="C17" s="9" t="s">
        <v>33</v>
      </c>
      <c r="D17" s="9" t="s">
        <v>90</v>
      </c>
      <c r="E17" s="9" t="s">
        <v>72</v>
      </c>
      <c r="F17" s="9">
        <v>3.0</v>
      </c>
      <c r="G17" s="10">
        <v>46307.0</v>
      </c>
      <c r="H17" s="11"/>
      <c r="I17" s="11"/>
      <c r="J17" s="11"/>
      <c r="K17" s="9" t="s">
        <v>38</v>
      </c>
      <c r="L17" s="12" t="str">
        <f>HYPERLINK("https://www.youtube.com/watch?v=sWKlUCGfX9s", "Watch Tutorial")</f>
        <v>Watch Tutorial</v>
      </c>
    </row>
    <row r="18">
      <c r="B18" s="9" t="s">
        <v>70</v>
      </c>
      <c r="C18" s="9" t="s">
        <v>39</v>
      </c>
      <c r="D18" s="9" t="s">
        <v>73</v>
      </c>
      <c r="E18" s="9" t="s">
        <v>74</v>
      </c>
      <c r="F18" s="9">
        <v>3.0</v>
      </c>
      <c r="G18" s="10">
        <v>46307.0</v>
      </c>
      <c r="H18" s="11"/>
      <c r="I18" s="11"/>
      <c r="J18" s="11"/>
      <c r="K18" s="9" t="s">
        <v>41</v>
      </c>
      <c r="L18" s="12" t="str">
        <f>HYPERLINK("https://www.youtube.com/watch?v=V-Pk0ZfoszU", "Watch Tutorial")</f>
        <v>Watch Tutorial</v>
      </c>
    </row>
    <row r="19">
      <c r="B19" s="9" t="s">
        <v>70</v>
      </c>
      <c r="C19" s="9" t="s">
        <v>42</v>
      </c>
      <c r="D19" s="9" t="s">
        <v>75</v>
      </c>
      <c r="E19" s="9" t="s">
        <v>76</v>
      </c>
      <c r="F19" s="9">
        <v>3.0</v>
      </c>
      <c r="G19" s="9" t="s">
        <v>77</v>
      </c>
      <c r="H19" s="11"/>
      <c r="I19" s="11"/>
      <c r="J19" s="11"/>
      <c r="K19" s="9" t="s">
        <v>38</v>
      </c>
      <c r="L19" s="12" t="str">
        <f>HYPERLINK("https://www.youtube.com/watch?v=RZKXLMxPF_I", "Watch Tutorial")</f>
        <v>Watch Tutorial</v>
      </c>
    </row>
    <row r="20">
      <c r="B20" s="9" t="s">
        <v>70</v>
      </c>
      <c r="C20" s="9" t="s">
        <v>45</v>
      </c>
      <c r="D20" s="9" t="s">
        <v>78</v>
      </c>
      <c r="E20" s="9" t="s">
        <v>79</v>
      </c>
      <c r="F20" s="9">
        <v>3.0</v>
      </c>
      <c r="G20" s="10">
        <v>46371.0</v>
      </c>
      <c r="H20" s="11"/>
      <c r="I20" s="11"/>
      <c r="J20" s="11"/>
      <c r="K20" s="9" t="s">
        <v>38</v>
      </c>
      <c r="L20" s="7" t="str">
        <f>HYPERLINK("https://www.youtube.com/watch?v=-PiO10ilRYc", "Watch Tutorial")</f>
        <v>Watch Tutorial</v>
      </c>
    </row>
    <row r="21">
      <c r="B21" s="9" t="s">
        <v>70</v>
      </c>
      <c r="C21" s="9" t="s">
        <v>48</v>
      </c>
      <c r="D21" s="9" t="s">
        <v>80</v>
      </c>
      <c r="E21" s="9" t="s">
        <v>81</v>
      </c>
      <c r="F21" s="9">
        <v>3.0</v>
      </c>
      <c r="G21" s="9" t="s">
        <v>82</v>
      </c>
      <c r="H21" s="11"/>
      <c r="I21" s="11"/>
      <c r="J21" s="11"/>
      <c r="K21" s="9" t="s">
        <v>69</v>
      </c>
      <c r="L21" s="12"/>
    </row>
    <row r="22">
      <c r="B22" s="7" t="s">
        <v>70</v>
      </c>
      <c r="C22" s="7" t="s">
        <v>52</v>
      </c>
      <c r="D22" s="7" t="s">
        <v>83</v>
      </c>
      <c r="E22" s="7" t="s">
        <v>84</v>
      </c>
      <c r="F22" s="7">
        <v>3.0</v>
      </c>
      <c r="G22" s="7" t="s">
        <v>85</v>
      </c>
      <c r="H22" s="12"/>
      <c r="I22" s="12"/>
      <c r="J22" s="12"/>
      <c r="K22" s="7" t="s">
        <v>69</v>
      </c>
      <c r="L22" s="12"/>
    </row>
    <row r="23">
      <c r="B23" s="7" t="s">
        <v>86</v>
      </c>
      <c r="C23" s="7" t="s">
        <v>33</v>
      </c>
      <c r="D23" s="7" t="s">
        <v>87</v>
      </c>
      <c r="E23" s="7" t="s">
        <v>35</v>
      </c>
      <c r="F23" s="7">
        <v>3.0</v>
      </c>
      <c r="G23" s="13">
        <v>46246.0</v>
      </c>
      <c r="H23" s="12"/>
      <c r="I23" s="12"/>
      <c r="J23" s="12"/>
      <c r="K23" s="7" t="s">
        <v>38</v>
      </c>
      <c r="L23" s="12" t="str">
        <f>HYPERLINK("https://www.youtube.com/watch?v=N4TVYoXKk-8", "Watch Tutorial")</f>
        <v>Watch Tutorial</v>
      </c>
    </row>
    <row r="24">
      <c r="B24" s="7" t="s">
        <v>86</v>
      </c>
      <c r="C24" s="7" t="s">
        <v>39</v>
      </c>
      <c r="D24" s="7" t="s">
        <v>88</v>
      </c>
      <c r="E24" s="7" t="s">
        <v>72</v>
      </c>
      <c r="F24" s="7">
        <v>3.0</v>
      </c>
      <c r="G24" s="7" t="s">
        <v>77</v>
      </c>
      <c r="H24" s="12"/>
      <c r="I24" s="12"/>
      <c r="J24" s="12"/>
      <c r="K24" s="7" t="s">
        <v>38</v>
      </c>
      <c r="L24" s="12" t="str">
        <f>HYPERLINK("https://www.youtube.com/watch?v=RZKXLMxPF_I", "Watch Tutorial")</f>
        <v>Watch Tutorial</v>
      </c>
    </row>
    <row r="25">
      <c r="B25" s="7" t="s">
        <v>86</v>
      </c>
      <c r="C25" s="7" t="s">
        <v>42</v>
      </c>
      <c r="D25" s="7" t="s">
        <v>89</v>
      </c>
      <c r="E25" s="7" t="s">
        <v>56</v>
      </c>
      <c r="F25" s="7">
        <v>3.0</v>
      </c>
      <c r="G25" s="13">
        <v>46307.0</v>
      </c>
      <c r="H25" s="12"/>
      <c r="I25" s="12"/>
      <c r="J25" s="12"/>
      <c r="K25" s="7" t="s">
        <v>38</v>
      </c>
      <c r="L25" s="12" t="str">
        <f>HYPERLINK("https://www.youtube.com/watch?v=SALxEARiMkw", "Watch Tutorial")</f>
        <v>Watch Tutorial</v>
      </c>
    </row>
    <row r="26">
      <c r="B26" s="7" t="s">
        <v>86</v>
      </c>
      <c r="C26" s="7" t="s">
        <v>45</v>
      </c>
      <c r="D26" s="7" t="s">
        <v>91</v>
      </c>
      <c r="E26" s="7" t="s">
        <v>74</v>
      </c>
      <c r="F26" s="7">
        <v>3.0</v>
      </c>
      <c r="G26" s="13">
        <v>46371.0</v>
      </c>
      <c r="H26" s="12"/>
      <c r="I26" s="12"/>
      <c r="J26" s="12"/>
      <c r="K26" s="7" t="s">
        <v>38</v>
      </c>
      <c r="L26" s="12" t="str">
        <f>HYPERLINK("https://www.youtube.com/watch?v=V-Pk0ZfoszU", "Watch Tutorial")</f>
        <v>Watch Tutorial</v>
      </c>
    </row>
    <row r="27">
      <c r="B27" s="7" t="s">
        <v>86</v>
      </c>
      <c r="C27" s="7" t="s">
        <v>48</v>
      </c>
      <c r="D27" s="7" t="s">
        <v>92</v>
      </c>
      <c r="E27" s="7" t="s">
        <v>93</v>
      </c>
      <c r="F27" s="7">
        <v>3.0</v>
      </c>
      <c r="G27" s="7" t="s">
        <v>94</v>
      </c>
      <c r="H27" s="12"/>
      <c r="I27" s="12"/>
      <c r="J27" s="12"/>
      <c r="K27" s="7" t="s">
        <v>69</v>
      </c>
      <c r="L27" s="12" t="str">
        <f>HYPERLINK("https://www.youtube.com/watch?v=GbSC02oU3To", "Watch Tutorial")</f>
        <v>Watch Tutorial</v>
      </c>
    </row>
    <row r="28">
      <c r="B28" s="7" t="s">
        <v>86</v>
      </c>
      <c r="C28" s="7" t="s">
        <v>52</v>
      </c>
      <c r="D28" s="7" t="s">
        <v>95</v>
      </c>
      <c r="E28" s="7" t="s">
        <v>96</v>
      </c>
      <c r="F28" s="7">
        <v>3.0</v>
      </c>
      <c r="G28" s="7" t="s">
        <v>97</v>
      </c>
      <c r="H28" s="12"/>
      <c r="I28" s="12"/>
      <c r="J28" s="12"/>
      <c r="K28" s="7" t="s">
        <v>69</v>
      </c>
      <c r="L28" s="12"/>
    </row>
    <row r="29">
      <c r="B29" s="7" t="s">
        <v>98</v>
      </c>
      <c r="C29" s="7" t="s">
        <v>33</v>
      </c>
      <c r="D29" s="7" t="s">
        <v>99</v>
      </c>
      <c r="E29" s="7" t="s">
        <v>93</v>
      </c>
      <c r="F29" s="7">
        <v>3.0</v>
      </c>
      <c r="G29" s="13">
        <v>46307.0</v>
      </c>
      <c r="H29" s="12"/>
      <c r="I29" s="12"/>
      <c r="J29" s="12"/>
      <c r="K29" s="7" t="s">
        <v>38</v>
      </c>
      <c r="L29" s="12" t="str">
        <f>HYPERLINK("https://www.youtube.com/watch?v=X-ACS9vpRyU", "Watch Tutorial")</f>
        <v>Watch Tutorial</v>
      </c>
    </row>
    <row r="30">
      <c r="B30" s="7" t="s">
        <v>98</v>
      </c>
      <c r="C30" s="7" t="s">
        <v>39</v>
      </c>
      <c r="D30" s="7" t="s">
        <v>100</v>
      </c>
      <c r="E30" s="7" t="s">
        <v>93</v>
      </c>
      <c r="F30" s="7">
        <v>3.0</v>
      </c>
      <c r="G30" s="7" t="s">
        <v>101</v>
      </c>
      <c r="H30" s="12"/>
      <c r="I30" s="12"/>
      <c r="J30" s="12"/>
      <c r="K30" s="7" t="s">
        <v>69</v>
      </c>
      <c r="L30" s="12" t="str">
        <f>HYPERLINK("https://www.youtube.com/watch?v=A2b2EmIg0dA", "Watch Tutorial")</f>
        <v>Watch Tutorial</v>
      </c>
    </row>
    <row r="31">
      <c r="B31" s="7" t="s">
        <v>98</v>
      </c>
      <c r="C31" s="7" t="s">
        <v>42</v>
      </c>
      <c r="D31" s="7" t="s">
        <v>102</v>
      </c>
      <c r="E31" s="7" t="s">
        <v>103</v>
      </c>
      <c r="F31" s="7">
        <v>3.0</v>
      </c>
      <c r="G31" s="7" t="s">
        <v>104</v>
      </c>
      <c r="H31" s="12"/>
      <c r="I31" s="12"/>
      <c r="J31" s="12"/>
      <c r="K31" s="7" t="s">
        <v>69</v>
      </c>
      <c r="L31" s="12" t="str">
        <f>HYPERLINK("https://www.youtube.com/watch?v=wkD8rjkodUI", "Watch Tutorial")</f>
        <v>Watch Tutorial</v>
      </c>
    </row>
    <row r="32">
      <c r="B32" s="7" t="s">
        <v>98</v>
      </c>
      <c r="C32" s="7" t="s">
        <v>45</v>
      </c>
      <c r="D32" s="7" t="s">
        <v>105</v>
      </c>
      <c r="E32" s="7" t="s">
        <v>93</v>
      </c>
      <c r="F32" s="7">
        <v>3.0</v>
      </c>
      <c r="G32" s="7" t="s">
        <v>94</v>
      </c>
      <c r="H32" s="12"/>
      <c r="I32" s="12"/>
      <c r="J32" s="12"/>
      <c r="K32" s="7" t="s">
        <v>69</v>
      </c>
      <c r="L32" s="12" t="str">
        <f>HYPERLINK("https://www.youtube.com/watch?v=GbSC02oU3To", "Watch Tutorial")</f>
        <v>Watch Tutorial</v>
      </c>
    </row>
    <row r="33">
      <c r="B33" s="7" t="s">
        <v>98</v>
      </c>
      <c r="C33" s="7" t="s">
        <v>106</v>
      </c>
      <c r="D33" s="7" t="s">
        <v>107</v>
      </c>
      <c r="E33" s="7" t="s">
        <v>108</v>
      </c>
      <c r="F33" s="7">
        <v>1.0</v>
      </c>
      <c r="G33" s="7" t="s">
        <v>109</v>
      </c>
      <c r="H33" s="12"/>
      <c r="I33" s="12"/>
      <c r="J33" s="12"/>
      <c r="K33" s="7" t="s">
        <v>69</v>
      </c>
      <c r="L33" s="12"/>
    </row>
  </sheetData>
  <conditionalFormatting sqref="B6:L33">
    <cfRule type="expression" dxfId="3" priority="1" stopIfTrue="1">
      <formula>ISEVEN(ROW())</formula>
    </cfRule>
  </conditionalFormatting>
  <conditionalFormatting sqref="B6:L33">
    <cfRule type="expression" dxfId="4" priority="2" stopIfTrue="1">
      <formula>ISODD(ROW())</formula>
    </cfRule>
  </conditionalFormatting>
  <drawing r:id="rId1"/>
  <tableParts count="1">
    <tablePart r:id="rId3"/>
  </tableParts>
</worksheet>
</file>